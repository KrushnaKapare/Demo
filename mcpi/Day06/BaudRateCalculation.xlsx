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ilesh\Aug25\DESD\MCPI\today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G3" i="1" s="1"/>
  <c r="G9" i="1" s="1"/>
  <c r="G10" i="1" s="1"/>
  <c r="G11" i="1" s="1"/>
  <c r="H11" i="1" s="1"/>
  <c r="C4" i="1"/>
  <c r="H3" i="1" l="1"/>
  <c r="C11" i="1" s="1"/>
  <c r="G5" i="1"/>
  <c r="G7" i="1" s="1"/>
</calcChain>
</file>

<file path=xl/sharedStrings.xml><?xml version="1.0" encoding="utf-8"?>
<sst xmlns="http://schemas.openxmlformats.org/spreadsheetml/2006/main" count="15" uniqueCount="14">
  <si>
    <t>PCLK</t>
  </si>
  <si>
    <t>MHz</t>
  </si>
  <si>
    <t>Hz</t>
  </si>
  <si>
    <t>UsartDiv = PCLK / (8 * (2 - OVER8) * baud)</t>
  </si>
  <si>
    <t>Over8</t>
  </si>
  <si>
    <t>Required Baud</t>
  </si>
  <si>
    <t>UsartDiv</t>
  </si>
  <si>
    <t>Baud Rate</t>
  </si>
  <si>
    <t>Error</t>
  </si>
  <si>
    <t>Fraction</t>
  </si>
  <si>
    <t>Mantissa</t>
  </si>
  <si>
    <t>Fractional</t>
  </si>
  <si>
    <t>Hex</t>
  </si>
  <si>
    <t>BRR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</si>
</sst>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tabSelected="1" zoomScale="190" zoomScaleNormal="190" workbookViewId="0">
      <selection activeCell="I4" sqref="I4"/>
    </sheetView>
  </sheetViews>
  <sheetFormatPr defaultRowHeight="14.4" x14ac:dyDescent="0.3"/>
  <cols>
    <col min="2" max="2" width="14.21875" customWidth="1"/>
    <col min="3" max="3" width="13.5546875" customWidth="1"/>
    <col min="5" max="5" width="2.21875" customWidth="1"/>
    <col min="6" max="6" width="10.77734375" customWidth="1"/>
    <col min="8" max="8" width="6.33203125" customWidth="1"/>
  </cols>
  <sheetData>
    <row r="1" spans="2:8" x14ac:dyDescent="0.3">
      <c r="B1" t="s">
        <v>3</v>
      </c>
    </row>
    <row r="2" spans="2:8" x14ac:dyDescent="0.3">
      <c r="H2" t="s">
        <v>12</v>
      </c>
    </row>
    <row r="3" spans="2:8" x14ac:dyDescent="0.3">
      <c r="B3" t="s">
        <v>0</v>
      </c>
      <c r="C3" s="2">
        <v>16</v>
      </c>
      <c r="D3" t="s">
        <v>1</v>
      </c>
      <c r="F3" t="s">
        <v>10</v>
      </c>
      <c r="G3">
        <f>INT(C9)</f>
        <v>104</v>
      </c>
      <c r="H3" t="str">
        <f>DEC2HEX(G3)</f>
        <v>68</v>
      </c>
    </row>
    <row r="4" spans="2:8" x14ac:dyDescent="0.3">
      <c r="C4">
        <f>C3*1000*1000</f>
        <v>16000000</v>
      </c>
      <c r="D4" t="s">
        <v>2</v>
      </c>
    </row>
    <row r="5" spans="2:8" x14ac:dyDescent="0.3">
      <c r="B5" t="s">
        <v>4</v>
      </c>
      <c r="C5" s="2">
        <v>0</v>
      </c>
      <c r="F5" t="s">
        <v>7</v>
      </c>
      <c r="G5">
        <f>C4/(8*(2-C5)*G3)</f>
        <v>9615.3846153846152</v>
      </c>
    </row>
    <row r="7" spans="2:8" x14ac:dyDescent="0.3">
      <c r="B7" t="s">
        <v>5</v>
      </c>
      <c r="C7" s="2">
        <v>9600</v>
      </c>
      <c r="F7" t="s">
        <v>8</v>
      </c>
      <c r="G7">
        <f>G5-C7</f>
        <v>15.384615384615245</v>
      </c>
    </row>
    <row r="9" spans="2:8" x14ac:dyDescent="0.3">
      <c r="B9" t="s">
        <v>6</v>
      </c>
      <c r="C9">
        <f>C4/(8*(2-C5)*C7)</f>
        <v>104.16666666666667</v>
      </c>
      <c r="F9" t="s">
        <v>11</v>
      </c>
      <c r="G9">
        <f>C9-G3</f>
        <v>0.1666666666666714</v>
      </c>
    </row>
    <row r="10" spans="2:8" x14ac:dyDescent="0.3">
      <c r="F10" t="s">
        <v>9</v>
      </c>
      <c r="G10">
        <f>G9*16</f>
        <v>2.6666666666667425</v>
      </c>
    </row>
    <row r="11" spans="2:8" x14ac:dyDescent="0.3">
      <c r="B11" s="1" t="s">
        <v>13</v>
      </c>
      <c r="C11" s="3" t="str">
        <f>"0x"&amp;H3&amp;H11</f>
        <v>0x683</v>
      </c>
      <c r="G11">
        <f>ROUND(G10,0)</f>
        <v>3</v>
      </c>
      <c r="H11" t="str">
        <f>DEC2HEX(G11)</f>
        <v>3</v>
      </c>
    </row>
    <row r="12" spans="2:8" x14ac:dyDescent="0.3">
      <c r="H12" t="s">
        <v>12</v>
      </c>
    </row>
  </sheetData>
  <pageMargins left="0.7" right="0.7" top="0.75" bottom="0.75" header="0.3" footer="0.3"/>
  <pageSetup paperSize="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Sunbeam</dc:creator>
  <cp:lastModifiedBy>Sunbeam</cp:lastModifiedBy>
  <dcterms:created xsi:type="dcterms:W3CDTF">2025-09-17T07:00:26Z</dcterms:created>
  <dcterms:modified xsi:type="dcterms:W3CDTF">2025-09-17T07:17:56Z</dcterms:modified>
</cp:coreProperties>
</file>